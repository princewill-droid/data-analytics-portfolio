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40009_{EB6DA530-2E4E-457D-A3C7-93A3A9445990}" xr6:coauthVersionLast="47" xr6:coauthVersionMax="47" xr10:uidLastSave="{00000000-0000-0000-0000-000000000000}"/>
  <bookViews>
    <workbookView xWindow="-108" yWindow="-108" windowWidth="23256" windowHeight="12456" activeTab="1"/>
  </bookViews>
  <sheets>
    <sheet name="Sheet1" sheetId="2" r:id="rId1"/>
    <sheet name="Sheet2" sheetId="3" r:id="rId2"/>
    <sheet name="pharmacy-sales" sheetId="1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A7" i="3" l="1"/>
  <c r="A9" i="3" s="1"/>
  <c r="A5" i="3"/>
</calcChain>
</file>

<file path=xl/sharedStrings.xml><?xml version="1.0" encoding="utf-8"?>
<sst xmlns="http://schemas.openxmlformats.org/spreadsheetml/2006/main" count="122" uniqueCount="31">
  <si>
    <t>Date</t>
  </si>
  <si>
    <t>Product</t>
  </si>
  <si>
    <t>Category</t>
  </si>
  <si>
    <t>Quantity Sold</t>
  </si>
  <si>
    <t>Cost Price</t>
  </si>
  <si>
    <t>Selling Price</t>
  </si>
  <si>
    <t>Revenue</t>
  </si>
  <si>
    <t>Profit</t>
  </si>
  <si>
    <t>Paracetamol</t>
  </si>
  <si>
    <t>Analgesic</t>
  </si>
  <si>
    <t>Amoxicillin</t>
  </si>
  <si>
    <t>Antibiotic</t>
  </si>
  <si>
    <t>Vitamin C</t>
  </si>
  <si>
    <t>Supplement</t>
  </si>
  <si>
    <t>ORS</t>
  </si>
  <si>
    <t>Rehydration</t>
  </si>
  <si>
    <t>Ibuprofen</t>
  </si>
  <si>
    <t>Omeprazole</t>
  </si>
  <si>
    <t>Antacid</t>
  </si>
  <si>
    <t>Row Labels</t>
  </si>
  <si>
    <t>(blank)</t>
  </si>
  <si>
    <t>Grand Total</t>
  </si>
  <si>
    <t>Sum of Quantity Sold</t>
  </si>
  <si>
    <t>Sum of Revenue</t>
  </si>
  <si>
    <t>Sum of Profit</t>
  </si>
  <si>
    <t>Sum of Revenue2</t>
  </si>
  <si>
    <t>Sum of Profit2</t>
  </si>
  <si>
    <t>total revenue</t>
  </si>
  <si>
    <t>total profit</t>
  </si>
  <si>
    <t>profit margin</t>
  </si>
  <si>
    <t>pharmacy sale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</si>
</sst>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9" fontId="0" fillId="0" borderId="0" xfId="2" applyFont="1"/>
    <xf numFmtId="0" fontId="18" fillId="0" borderId="0" xfId="0" applyFont="1"/>
    <xf numFmtId="44" fontId="0" fillId="0" borderId="0" xfId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[pharmacy-sales-analysis.xlsx]Sheet1!PivotTable1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revenue by product</a:t>
            </a:r>
            <a:r>
              <a:rPr lang="en-US" baseline="0"/>
              <a:t>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35870516185477"/>
          <c:y val="0.3142107757363663"/>
          <c:w val="0.57245494313210854"/>
          <c:h val="0.303399314668999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Sheet1!$B$4:$B$18</c:f>
              <c:numCache>
                <c:formatCode>General</c:formatCode>
                <c:ptCount val="7"/>
                <c:pt idx="0">
                  <c:v>13600</c:v>
                </c:pt>
                <c:pt idx="1">
                  <c:v>7500</c:v>
                </c:pt>
                <c:pt idx="2">
                  <c:v>10500</c:v>
                </c:pt>
                <c:pt idx="3">
                  <c:v>6750</c:v>
                </c:pt>
                <c:pt idx="4">
                  <c:v>9700</c:v>
                </c:pt>
                <c:pt idx="5">
                  <c:v>10600</c:v>
                </c:pt>
                <c:pt idx="6">
                  <c:v>58650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A-4091-B443-D6F0FBAFA84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Sheet1!$C$4:$C$18</c:f>
              <c:numCache>
                <c:formatCode>General</c:formatCode>
                <c:ptCount val="7"/>
                <c:pt idx="0">
                  <c:v>13600</c:v>
                </c:pt>
                <c:pt idx="1">
                  <c:v>7500</c:v>
                </c:pt>
                <c:pt idx="2">
                  <c:v>10500</c:v>
                </c:pt>
                <c:pt idx="3">
                  <c:v>6750</c:v>
                </c:pt>
                <c:pt idx="4">
                  <c:v>9700</c:v>
                </c:pt>
                <c:pt idx="5">
                  <c:v>10600</c:v>
                </c:pt>
                <c:pt idx="6">
                  <c:v>58650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A-4091-B443-D6F0FBAFA841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Revenue2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Sheet1!$D$4:$D$18</c:f>
              <c:numCache>
                <c:formatCode>General</c:formatCode>
                <c:ptCount val="7"/>
                <c:pt idx="0">
                  <c:v>40800</c:v>
                </c:pt>
                <c:pt idx="1">
                  <c:v>19500</c:v>
                </c:pt>
                <c:pt idx="2">
                  <c:v>28000</c:v>
                </c:pt>
                <c:pt idx="3">
                  <c:v>15750</c:v>
                </c:pt>
                <c:pt idx="4">
                  <c:v>24250</c:v>
                </c:pt>
                <c:pt idx="5">
                  <c:v>26500</c:v>
                </c:pt>
                <c:pt idx="6">
                  <c:v>154800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1A-4091-B443-D6F0FBAFA841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Quantity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Sheet1!$E$4:$E$18</c:f>
              <c:numCache>
                <c:formatCode>General</c:formatCode>
                <c:ptCount val="7"/>
                <c:pt idx="0">
                  <c:v>34</c:v>
                </c:pt>
                <c:pt idx="1">
                  <c:v>30</c:v>
                </c:pt>
                <c:pt idx="2">
                  <c:v>35</c:v>
                </c:pt>
                <c:pt idx="3">
                  <c:v>45</c:v>
                </c:pt>
                <c:pt idx="4">
                  <c:v>97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1A-4091-B443-D6F0FBAFA841}"/>
            </c:ext>
          </c:extLst>
        </c:ser>
        <c:ser>
          <c:idx val="4"/>
          <c:order val="4"/>
          <c:tx>
            <c:strRef>
              <c:f>Sheet1!$F$3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Sheet1!$F$4:$F$18</c:f>
              <c:numCache>
                <c:formatCode>General</c:formatCode>
                <c:ptCount val="7"/>
                <c:pt idx="0">
                  <c:v>40800</c:v>
                </c:pt>
                <c:pt idx="1">
                  <c:v>19500</c:v>
                </c:pt>
                <c:pt idx="2">
                  <c:v>28000</c:v>
                </c:pt>
                <c:pt idx="3">
                  <c:v>15750</c:v>
                </c:pt>
                <c:pt idx="4">
                  <c:v>24250</c:v>
                </c:pt>
                <c:pt idx="5">
                  <c:v>26500</c:v>
                </c:pt>
                <c:pt idx="6">
                  <c:v>154800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1A-4091-B443-D6F0FBAFA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60240"/>
        <c:axId val="85823376"/>
      </c:barChart>
      <c:catAx>
        <c:axId val="9066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3376"/>
        <c:crosses val="autoZero"/>
        <c:auto val="1"/>
        <c:lblAlgn val="ctr"/>
        <c:lblOffset val="100"/>
        <c:noMultiLvlLbl val="0"/>
      </c:catAx>
      <c:valAx>
        <c:axId val="858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[pharmacy-sales-analysis.xlsx]Sheet1!PivotTable1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23056300268096"/>
          <c:y val="0.2572178477690289"/>
          <c:w val="0.57245494313210854"/>
          <c:h val="0.424186351706036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Sheet1!$B$4:$B$18</c:f>
              <c:numCache>
                <c:formatCode>General</c:formatCode>
                <c:ptCount val="7"/>
                <c:pt idx="0">
                  <c:v>13600</c:v>
                </c:pt>
                <c:pt idx="1">
                  <c:v>7500</c:v>
                </c:pt>
                <c:pt idx="2">
                  <c:v>10500</c:v>
                </c:pt>
                <c:pt idx="3">
                  <c:v>6750</c:v>
                </c:pt>
                <c:pt idx="4">
                  <c:v>9700</c:v>
                </c:pt>
                <c:pt idx="5">
                  <c:v>10600</c:v>
                </c:pt>
                <c:pt idx="6">
                  <c:v>58650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3-4D5A-922F-C17AA90AE828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Sheet1!$C$4:$C$18</c:f>
              <c:numCache>
                <c:formatCode>General</c:formatCode>
                <c:ptCount val="7"/>
                <c:pt idx="0">
                  <c:v>13600</c:v>
                </c:pt>
                <c:pt idx="1">
                  <c:v>7500</c:v>
                </c:pt>
                <c:pt idx="2">
                  <c:v>10500</c:v>
                </c:pt>
                <c:pt idx="3">
                  <c:v>6750</c:v>
                </c:pt>
                <c:pt idx="4">
                  <c:v>9700</c:v>
                </c:pt>
                <c:pt idx="5">
                  <c:v>10600</c:v>
                </c:pt>
                <c:pt idx="6">
                  <c:v>58650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3-4D5A-922F-C17AA90AE828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Revenue2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Sheet1!$D$4:$D$18</c:f>
              <c:numCache>
                <c:formatCode>General</c:formatCode>
                <c:ptCount val="7"/>
                <c:pt idx="0">
                  <c:v>40800</c:v>
                </c:pt>
                <c:pt idx="1">
                  <c:v>19500</c:v>
                </c:pt>
                <c:pt idx="2">
                  <c:v>28000</c:v>
                </c:pt>
                <c:pt idx="3">
                  <c:v>15750</c:v>
                </c:pt>
                <c:pt idx="4">
                  <c:v>24250</c:v>
                </c:pt>
                <c:pt idx="5">
                  <c:v>26500</c:v>
                </c:pt>
                <c:pt idx="6">
                  <c:v>154800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3-4D5A-922F-C17AA90AE828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Quantity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Sheet1!$E$4:$E$18</c:f>
              <c:numCache>
                <c:formatCode>General</c:formatCode>
                <c:ptCount val="7"/>
                <c:pt idx="0">
                  <c:v>34</c:v>
                </c:pt>
                <c:pt idx="1">
                  <c:v>30</c:v>
                </c:pt>
                <c:pt idx="2">
                  <c:v>35</c:v>
                </c:pt>
                <c:pt idx="3">
                  <c:v>45</c:v>
                </c:pt>
                <c:pt idx="4">
                  <c:v>97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3-4D5A-922F-C17AA90AE828}"/>
            </c:ext>
          </c:extLst>
        </c:ser>
        <c:ser>
          <c:idx val="4"/>
          <c:order val="4"/>
          <c:tx>
            <c:strRef>
              <c:f>Sheet1!$F$3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Sheet1!$A$4:$A$18</c:f>
              <c:multiLvlStrCache>
                <c:ptCount val="7"/>
                <c:lvl>
                  <c:pt idx="0">
                    <c:v>Antibiotic</c:v>
                  </c:pt>
                  <c:pt idx="1">
                    <c:v>Analgesic</c:v>
                  </c:pt>
                  <c:pt idx="2">
                    <c:v>Antacid</c:v>
                  </c:pt>
                  <c:pt idx="3">
                    <c:v>Rehydration</c:v>
                  </c:pt>
                  <c:pt idx="4">
                    <c:v>Analgesic</c:v>
                  </c:pt>
                  <c:pt idx="5">
                    <c:v>Supplement</c:v>
                  </c:pt>
                  <c:pt idx="6">
                    <c:v>(blank)</c:v>
                  </c:pt>
                </c:lvl>
                <c:lvl>
                  <c:pt idx="0">
                    <c:v>Amoxicillin</c:v>
                  </c:pt>
                  <c:pt idx="1">
                    <c:v>Ibuprofen</c:v>
                  </c:pt>
                  <c:pt idx="2">
                    <c:v>Omeprazole</c:v>
                  </c:pt>
                  <c:pt idx="3">
                    <c:v>ORS</c:v>
                  </c:pt>
                  <c:pt idx="4">
                    <c:v>Paracetamol</c:v>
                  </c:pt>
                  <c:pt idx="5">
                    <c:v>Vitamin C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Sheet1!$F$4:$F$18</c:f>
              <c:numCache>
                <c:formatCode>General</c:formatCode>
                <c:ptCount val="7"/>
                <c:pt idx="0">
                  <c:v>40800</c:v>
                </c:pt>
                <c:pt idx="1">
                  <c:v>19500</c:v>
                </c:pt>
                <c:pt idx="2">
                  <c:v>28000</c:v>
                </c:pt>
                <c:pt idx="3">
                  <c:v>15750</c:v>
                </c:pt>
                <c:pt idx="4">
                  <c:v>24250</c:v>
                </c:pt>
                <c:pt idx="5">
                  <c:v>26500</c:v>
                </c:pt>
                <c:pt idx="6">
                  <c:v>154800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3-4D5A-922F-C17AA90AE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237424"/>
        <c:axId val="1405233264"/>
      </c:barChart>
      <c:catAx>
        <c:axId val="14052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33264"/>
        <c:crosses val="autoZero"/>
        <c:auto val="1"/>
        <c:lblAlgn val="ctr"/>
        <c:lblOffset val="100"/>
        <c:noMultiLvlLbl val="0"/>
      </c:catAx>
      <c:valAx>
        <c:axId val="140523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22860</xdr:rowOff>
    </xdr:from>
    <xdr:to>
      <xdr:col>6</xdr:col>
      <xdr:colOff>601980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BF544-2CDA-429C-B88C-8D3590F6E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213360</xdr:colOff>
      <xdr:row>9</xdr:row>
      <xdr:rowOff>30480</xdr:rowOff>
    </xdr:from>
    <xdr:to>
      <xdr:col>15</xdr:col>
      <xdr:colOff>121920</xdr:colOff>
      <xdr:row>23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999264-DC06-409A-AD6D-31F5AB38E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mePC" refreshedDate="46291.599916550927" createdVersion="8" refreshedVersion="8" minRefreshableVersion="3" recordCount="21">
  <cacheSource type="worksheet">
    <worksheetSource ref="A1:H22" sheet="pharmacy-sales"/>
  </cacheSource>
  <cacheFields count="8">
    <cacheField name="Date" numFmtId="0">
      <sharedItems containsNonDate="0" containsDate="1" containsString="0" containsBlank="1" minDate="2026-09-01T00:00:00" maxDate="2026-09-11T00:00:00" count="11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m/>
      </sharedItems>
    </cacheField>
    <cacheField name="Product" numFmtId="0">
      <sharedItems containsBlank="1" count="7">
        <s v="Paracetamol"/>
        <s v="Amoxicillin"/>
        <s v="Vitamin C"/>
        <s v="ORS"/>
        <s v="Ibuprofen"/>
        <s v="Omeprazole"/>
        <m/>
      </sharedItems>
    </cacheField>
    <cacheField name="Category" numFmtId="0">
      <sharedItems containsBlank="1" count="6">
        <s v="Analgesic"/>
        <s v="Antibiotic"/>
        <s v="Supplement"/>
        <s v="Rehydration"/>
        <s v="Antacid"/>
        <m/>
      </sharedItems>
    </cacheField>
    <cacheField name="Quantity Sold" numFmtId="0">
      <sharedItems containsString="0" containsBlank="1" containsNumber="1" containsInteger="1" minValue="7" maxValue="30"/>
    </cacheField>
    <cacheField name="Cost Price" numFmtId="0">
      <sharedItems containsString="0" containsBlank="1" containsNumber="1" containsInteger="1" minValue="150" maxValue="800"/>
    </cacheField>
    <cacheField name="Selling Price" numFmtId="0">
      <sharedItems containsString="0" containsBlank="1" containsNumber="1" containsInteger="1" minValue="250" maxValue="1200"/>
    </cacheField>
    <cacheField name="Revenue" numFmtId="0">
      <sharedItems containsSemiMixedTypes="0" containsString="0" containsNumber="1" containsInteger="1" minValue="4200" maxValue="154800"/>
    </cacheField>
    <cacheField name="Profit" numFmtId="0">
      <sharedItems containsSemiMixedTypes="0" containsString="0" containsNumber="1" containsInteger="1" minValue="1800" maxValue="58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x v="0"/>
    <x v="0"/>
    <n v="20"/>
    <n v="150"/>
    <n v="250"/>
    <n v="5000"/>
    <n v="2000"/>
  </r>
  <r>
    <x v="0"/>
    <x v="1"/>
    <x v="1"/>
    <n v="10"/>
    <n v="800"/>
    <n v="1200"/>
    <n v="12000"/>
    <n v="4000"/>
  </r>
  <r>
    <x v="1"/>
    <x v="2"/>
    <x v="2"/>
    <n v="15"/>
    <n v="300"/>
    <n v="500"/>
    <n v="7500"/>
    <n v="3000"/>
  </r>
  <r>
    <x v="1"/>
    <x v="3"/>
    <x v="3"/>
    <n v="12"/>
    <n v="200"/>
    <n v="350"/>
    <n v="4200"/>
    <n v="1800"/>
  </r>
  <r>
    <x v="2"/>
    <x v="4"/>
    <x v="0"/>
    <n v="8"/>
    <n v="400"/>
    <n v="650"/>
    <n v="5200"/>
    <n v="2000"/>
  </r>
  <r>
    <x v="2"/>
    <x v="5"/>
    <x v="4"/>
    <n v="10"/>
    <n v="500"/>
    <n v="800"/>
    <n v="8000"/>
    <n v="3000"/>
  </r>
  <r>
    <x v="3"/>
    <x v="0"/>
    <x v="0"/>
    <n v="25"/>
    <n v="150"/>
    <n v="250"/>
    <n v="6250"/>
    <n v="2500"/>
  </r>
  <r>
    <x v="3"/>
    <x v="1"/>
    <x v="1"/>
    <n v="7"/>
    <n v="800"/>
    <n v="1200"/>
    <n v="8400"/>
    <n v="2800"/>
  </r>
  <r>
    <x v="4"/>
    <x v="2"/>
    <x v="2"/>
    <n v="20"/>
    <n v="300"/>
    <n v="500"/>
    <n v="10000"/>
    <n v="4000"/>
  </r>
  <r>
    <x v="4"/>
    <x v="3"/>
    <x v="3"/>
    <n v="18"/>
    <n v="200"/>
    <n v="350"/>
    <n v="6300"/>
    <n v="2700"/>
  </r>
  <r>
    <x v="5"/>
    <x v="4"/>
    <x v="0"/>
    <n v="12"/>
    <n v="400"/>
    <n v="650"/>
    <n v="7800"/>
    <n v="3000"/>
  </r>
  <r>
    <x v="5"/>
    <x v="5"/>
    <x v="4"/>
    <n v="14"/>
    <n v="500"/>
    <n v="800"/>
    <n v="11200"/>
    <n v="4200"/>
  </r>
  <r>
    <x v="6"/>
    <x v="0"/>
    <x v="0"/>
    <n v="30"/>
    <n v="150"/>
    <n v="250"/>
    <n v="7500"/>
    <n v="3000"/>
  </r>
  <r>
    <x v="6"/>
    <x v="1"/>
    <x v="1"/>
    <n v="9"/>
    <n v="800"/>
    <n v="1200"/>
    <n v="10800"/>
    <n v="3600"/>
  </r>
  <r>
    <x v="7"/>
    <x v="2"/>
    <x v="2"/>
    <n v="18"/>
    <n v="300"/>
    <n v="500"/>
    <n v="9000"/>
    <n v="3600"/>
  </r>
  <r>
    <x v="7"/>
    <x v="3"/>
    <x v="3"/>
    <n v="15"/>
    <n v="200"/>
    <n v="350"/>
    <n v="5250"/>
    <n v="2250"/>
  </r>
  <r>
    <x v="8"/>
    <x v="4"/>
    <x v="0"/>
    <n v="10"/>
    <n v="400"/>
    <n v="650"/>
    <n v="6500"/>
    <n v="2500"/>
  </r>
  <r>
    <x v="8"/>
    <x v="5"/>
    <x v="4"/>
    <n v="11"/>
    <n v="500"/>
    <n v="800"/>
    <n v="8800"/>
    <n v="3300"/>
  </r>
  <r>
    <x v="9"/>
    <x v="0"/>
    <x v="0"/>
    <n v="22"/>
    <n v="150"/>
    <n v="250"/>
    <n v="5500"/>
    <n v="2200"/>
  </r>
  <r>
    <x v="9"/>
    <x v="1"/>
    <x v="1"/>
    <n v="8"/>
    <n v="800"/>
    <n v="1200"/>
    <n v="9600"/>
    <n v="3200"/>
  </r>
  <r>
    <x v="10"/>
    <x v="6"/>
    <x v="5"/>
    <m/>
    <m/>
    <m/>
    <n v="154800"/>
    <n v="58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18" firstHeaderRow="0" firstDataRow="1" firstDataCol="1"/>
  <pivotFields count="8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8">
        <item x="1"/>
        <item x="4"/>
        <item x="5"/>
        <item x="3"/>
        <item x="0"/>
        <item x="2"/>
        <item x="6"/>
        <item t="default"/>
      </items>
    </pivotField>
    <pivotField axis="axisRow" showAll="0">
      <items count="7">
        <item x="0"/>
        <item x="4"/>
        <item x="1"/>
        <item x="3"/>
        <item x="2"/>
        <item x="5"/>
        <item t="default"/>
      </items>
    </pivotField>
    <pivotField dataField="1" showAll="0"/>
    <pivotField showAll="0"/>
    <pivotField showAll="0"/>
    <pivotField dataField="1" showAll="0"/>
    <pivotField dataField="1" showAll="0"/>
  </pivotFields>
  <rowFields count="2">
    <field x="1"/>
    <field x="2"/>
  </rowFields>
  <rowItems count="15">
    <i>
      <x/>
    </i>
    <i r="1">
      <x v="2"/>
    </i>
    <i>
      <x v="1"/>
    </i>
    <i r="1">
      <x/>
    </i>
    <i>
      <x v="2"/>
    </i>
    <i r="1">
      <x v="1"/>
    </i>
    <i>
      <x v="3"/>
    </i>
    <i r="1">
      <x v="3"/>
    </i>
    <i>
      <x v="4"/>
    </i>
    <i r="1">
      <x/>
    </i>
    <i>
      <x v="5"/>
    </i>
    <i r="1">
      <x v="4"/>
    </i>
    <i>
      <x v="6"/>
    </i>
    <i r="1"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rofit" fld="7" baseField="0" baseItem="0"/>
    <dataField name="Sum of Profit2" fld="7" baseField="0" baseItem="0"/>
    <dataField name="Sum of Revenue2" fld="6" baseField="0" baseItem="0"/>
    <dataField name="Sum of Quantity Sold" fld="3" baseField="0" baseItem="0"/>
    <dataField name="Sum of Revenue" fld="6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8"/>
  <sheetViews>
    <sheetView topLeftCell="G1" workbookViewId="0">
      <selection activeCell="A24" sqref="A22:D24"/>
    </sheetView>
  </sheetViews>
  <sheetFormatPr defaultRowHeight="14.4" x14ac:dyDescent="0.3"/>
  <cols>
    <col min="1" max="1" width="14.88671875" bestFit="1" customWidth="1"/>
    <col min="2" max="2" width="12.109375" bestFit="1" customWidth="1"/>
    <col min="3" max="3" width="13.21875" bestFit="1" customWidth="1"/>
    <col min="4" max="4" width="15.88671875" bestFit="1" customWidth="1"/>
    <col min="5" max="5" width="19.109375" bestFit="1" customWidth="1"/>
    <col min="6" max="6" width="14.88671875" bestFit="1" customWidth="1"/>
  </cols>
  <sheetData>
    <row r="3" spans="1:6" x14ac:dyDescent="0.3">
      <c r="A3" s="2" t="s">
        <v>19</v>
      </c>
      <c r="B3" t="s">
        <v>24</v>
      </c>
      <c r="C3" t="s">
        <v>26</v>
      </c>
      <c r="D3" t="s">
        <v>25</v>
      </c>
      <c r="E3" t="s">
        <v>22</v>
      </c>
      <c r="F3" t="s">
        <v>23</v>
      </c>
    </row>
    <row r="4" spans="1:6" x14ac:dyDescent="0.3">
      <c r="A4" s="3" t="s">
        <v>10</v>
      </c>
      <c r="B4" s="5">
        <v>13600</v>
      </c>
      <c r="C4" s="5">
        <v>13600</v>
      </c>
      <c r="D4" s="5">
        <v>40800</v>
      </c>
      <c r="E4" s="5">
        <v>34</v>
      </c>
      <c r="F4" s="5">
        <v>40800</v>
      </c>
    </row>
    <row r="5" spans="1:6" x14ac:dyDescent="0.3">
      <c r="A5" s="4" t="s">
        <v>11</v>
      </c>
      <c r="B5" s="5">
        <v>13600</v>
      </c>
      <c r="C5" s="5">
        <v>13600</v>
      </c>
      <c r="D5" s="5">
        <v>40800</v>
      </c>
      <c r="E5" s="5">
        <v>34</v>
      </c>
      <c r="F5" s="5">
        <v>40800</v>
      </c>
    </row>
    <row r="6" spans="1:6" x14ac:dyDescent="0.3">
      <c r="A6" s="3" t="s">
        <v>16</v>
      </c>
      <c r="B6" s="5">
        <v>7500</v>
      </c>
      <c r="C6" s="5">
        <v>7500</v>
      </c>
      <c r="D6" s="5">
        <v>19500</v>
      </c>
      <c r="E6" s="5">
        <v>30</v>
      </c>
      <c r="F6" s="5">
        <v>19500</v>
      </c>
    </row>
    <row r="7" spans="1:6" x14ac:dyDescent="0.3">
      <c r="A7" s="4" t="s">
        <v>9</v>
      </c>
      <c r="B7" s="5">
        <v>7500</v>
      </c>
      <c r="C7" s="5">
        <v>7500</v>
      </c>
      <c r="D7" s="5">
        <v>19500</v>
      </c>
      <c r="E7" s="5">
        <v>30</v>
      </c>
      <c r="F7" s="5">
        <v>19500</v>
      </c>
    </row>
    <row r="8" spans="1:6" x14ac:dyDescent="0.3">
      <c r="A8" s="3" t="s">
        <v>17</v>
      </c>
      <c r="B8" s="5">
        <v>10500</v>
      </c>
      <c r="C8" s="5">
        <v>10500</v>
      </c>
      <c r="D8" s="5">
        <v>28000</v>
      </c>
      <c r="E8" s="5">
        <v>35</v>
      </c>
      <c r="F8" s="5">
        <v>28000</v>
      </c>
    </row>
    <row r="9" spans="1:6" x14ac:dyDescent="0.3">
      <c r="A9" s="4" t="s">
        <v>18</v>
      </c>
      <c r="B9" s="5">
        <v>10500</v>
      </c>
      <c r="C9" s="5">
        <v>10500</v>
      </c>
      <c r="D9" s="5">
        <v>28000</v>
      </c>
      <c r="E9" s="5">
        <v>35</v>
      </c>
      <c r="F9" s="5">
        <v>28000</v>
      </c>
    </row>
    <row r="10" spans="1:6" x14ac:dyDescent="0.3">
      <c r="A10" s="3" t="s">
        <v>14</v>
      </c>
      <c r="B10" s="5">
        <v>6750</v>
      </c>
      <c r="C10" s="5">
        <v>6750</v>
      </c>
      <c r="D10" s="5">
        <v>15750</v>
      </c>
      <c r="E10" s="5">
        <v>45</v>
      </c>
      <c r="F10" s="5">
        <v>15750</v>
      </c>
    </row>
    <row r="11" spans="1:6" x14ac:dyDescent="0.3">
      <c r="A11" s="4" t="s">
        <v>15</v>
      </c>
      <c r="B11" s="5">
        <v>6750</v>
      </c>
      <c r="C11" s="5">
        <v>6750</v>
      </c>
      <c r="D11" s="5">
        <v>15750</v>
      </c>
      <c r="E11" s="5">
        <v>45</v>
      </c>
      <c r="F11" s="5">
        <v>15750</v>
      </c>
    </row>
    <row r="12" spans="1:6" x14ac:dyDescent="0.3">
      <c r="A12" s="3" t="s">
        <v>8</v>
      </c>
      <c r="B12" s="5">
        <v>9700</v>
      </c>
      <c r="C12" s="5">
        <v>9700</v>
      </c>
      <c r="D12" s="5">
        <v>24250</v>
      </c>
      <c r="E12" s="5">
        <v>97</v>
      </c>
      <c r="F12" s="5">
        <v>24250</v>
      </c>
    </row>
    <row r="13" spans="1:6" x14ac:dyDescent="0.3">
      <c r="A13" s="4" t="s">
        <v>9</v>
      </c>
      <c r="B13" s="5">
        <v>9700</v>
      </c>
      <c r="C13" s="5">
        <v>9700</v>
      </c>
      <c r="D13" s="5">
        <v>24250</v>
      </c>
      <c r="E13" s="5">
        <v>97</v>
      </c>
      <c r="F13" s="5">
        <v>24250</v>
      </c>
    </row>
    <row r="14" spans="1:6" x14ac:dyDescent="0.3">
      <c r="A14" s="3" t="s">
        <v>12</v>
      </c>
      <c r="B14" s="5">
        <v>10600</v>
      </c>
      <c r="C14" s="5">
        <v>10600</v>
      </c>
      <c r="D14" s="5">
        <v>26500</v>
      </c>
      <c r="E14" s="5">
        <v>53</v>
      </c>
      <c r="F14" s="5">
        <v>26500</v>
      </c>
    </row>
    <row r="15" spans="1:6" x14ac:dyDescent="0.3">
      <c r="A15" s="4" t="s">
        <v>13</v>
      </c>
      <c r="B15" s="5">
        <v>10600</v>
      </c>
      <c r="C15" s="5">
        <v>10600</v>
      </c>
      <c r="D15" s="5">
        <v>26500</v>
      </c>
      <c r="E15" s="5">
        <v>53</v>
      </c>
      <c r="F15" s="5">
        <v>26500</v>
      </c>
    </row>
    <row r="16" spans="1:6" x14ac:dyDescent="0.3">
      <c r="A16" s="3" t="s">
        <v>20</v>
      </c>
      <c r="B16" s="5">
        <v>58650</v>
      </c>
      <c r="C16" s="5">
        <v>58650</v>
      </c>
      <c r="D16" s="5">
        <v>154800</v>
      </c>
      <c r="E16" s="5"/>
      <c r="F16" s="5">
        <v>154800</v>
      </c>
    </row>
    <row r="17" spans="1:6" x14ac:dyDescent="0.3">
      <c r="A17" s="4" t="s">
        <v>20</v>
      </c>
      <c r="B17" s="5">
        <v>58650</v>
      </c>
      <c r="C17" s="5">
        <v>58650</v>
      </c>
      <c r="D17" s="5">
        <v>154800</v>
      </c>
      <c r="E17" s="5"/>
      <c r="F17" s="5">
        <v>154800</v>
      </c>
    </row>
    <row r="18" spans="1:6" x14ac:dyDescent="0.3">
      <c r="A18" s="3" t="s">
        <v>21</v>
      </c>
      <c r="B18" s="5">
        <v>117300</v>
      </c>
      <c r="C18" s="5">
        <v>117300</v>
      </c>
      <c r="D18" s="5">
        <v>309600</v>
      </c>
      <c r="E18" s="5">
        <v>294</v>
      </c>
      <c r="F18" s="5">
        <v>309600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C7" sqref="C7"/>
    </sheetView>
  </sheetViews>
  <sheetFormatPr defaultRowHeight="14.4" x14ac:dyDescent="0.3"/>
  <cols>
    <col min="1" max="1" width="13.44140625" customWidth="1"/>
  </cols>
  <sheetData>
    <row r="1" spans="1:1" ht="25.8" x14ac:dyDescent="0.5">
      <c r="A1" s="7" t="s">
        <v>30</v>
      </c>
    </row>
    <row r="4" spans="1:1" x14ac:dyDescent="0.3">
      <c r="A4" t="s">
        <v>27</v>
      </c>
    </row>
    <row r="5" spans="1:1" x14ac:dyDescent="0.3">
      <c r="A5" s="8">
        <f>SUM('pharmacy-sales'!G2:G21)</f>
        <v>154800</v>
      </c>
    </row>
    <row r="6" spans="1:1" x14ac:dyDescent="0.3">
      <c r="A6" t="s">
        <v>28</v>
      </c>
    </row>
    <row r="7" spans="1:1" x14ac:dyDescent="0.3">
      <c r="A7" s="8">
        <f>SUM('pharmacy-sales'!H2:H21)</f>
        <v>58650</v>
      </c>
    </row>
    <row r="8" spans="1:1" x14ac:dyDescent="0.3">
      <c r="A8" t="s">
        <v>29</v>
      </c>
    </row>
    <row r="9" spans="1:1" x14ac:dyDescent="0.3">
      <c r="A9" s="6">
        <f>A7/A5</f>
        <v>0.37887596899224807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/>
  </sheetViews>
  <sheetFormatPr defaultRowHeight="14.4" x14ac:dyDescent="0.3"/>
  <cols>
    <col min="1" max="1" width="13.77734375" customWidth="1"/>
    <col min="2" max="2" width="19.88671875" customWidth="1"/>
    <col min="3" max="3" width="13.33203125" customWidth="1"/>
    <col min="9" max="9" width="9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46266</v>
      </c>
      <c r="B2" t="s">
        <v>8</v>
      </c>
      <c r="C2" t="s">
        <v>9</v>
      </c>
      <c r="D2">
        <v>20</v>
      </c>
      <c r="E2">
        <v>150</v>
      </c>
      <c r="F2">
        <v>250</v>
      </c>
      <c r="G2">
        <v>5000</v>
      </c>
      <c r="H2">
        <v>2000</v>
      </c>
    </row>
    <row r="3" spans="1:8" x14ac:dyDescent="0.3">
      <c r="A3" s="1">
        <v>46266</v>
      </c>
      <c r="B3" t="s">
        <v>10</v>
      </c>
      <c r="C3" t="s">
        <v>11</v>
      </c>
      <c r="D3">
        <v>10</v>
      </c>
      <c r="E3">
        <v>800</v>
      </c>
      <c r="F3">
        <v>1200</v>
      </c>
      <c r="G3">
        <v>12000</v>
      </c>
      <c r="H3">
        <v>4000</v>
      </c>
    </row>
    <row r="4" spans="1:8" x14ac:dyDescent="0.3">
      <c r="A4" s="1">
        <v>46267</v>
      </c>
      <c r="B4" t="s">
        <v>12</v>
      </c>
      <c r="C4" t="s">
        <v>13</v>
      </c>
      <c r="D4">
        <v>15</v>
      </c>
      <c r="E4">
        <v>300</v>
      </c>
      <c r="F4">
        <v>500</v>
      </c>
      <c r="G4">
        <v>7500</v>
      </c>
      <c r="H4">
        <v>3000</v>
      </c>
    </row>
    <row r="5" spans="1:8" x14ac:dyDescent="0.3">
      <c r="A5" s="1">
        <v>46267</v>
      </c>
      <c r="B5" t="s">
        <v>14</v>
      </c>
      <c r="C5" t="s">
        <v>15</v>
      </c>
      <c r="D5">
        <v>12</v>
      </c>
      <c r="E5">
        <v>200</v>
      </c>
      <c r="F5">
        <v>350</v>
      </c>
      <c r="G5">
        <v>4200</v>
      </c>
      <c r="H5">
        <v>1800</v>
      </c>
    </row>
    <row r="6" spans="1:8" x14ac:dyDescent="0.3">
      <c r="A6" s="1">
        <v>46268</v>
      </c>
      <c r="B6" t="s">
        <v>16</v>
      </c>
      <c r="C6" t="s">
        <v>9</v>
      </c>
      <c r="D6">
        <v>8</v>
      </c>
      <c r="E6">
        <v>400</v>
      </c>
      <c r="F6">
        <v>650</v>
      </c>
      <c r="G6">
        <v>5200</v>
      </c>
      <c r="H6">
        <v>2000</v>
      </c>
    </row>
    <row r="7" spans="1:8" x14ac:dyDescent="0.3">
      <c r="A7" s="1">
        <v>46268</v>
      </c>
      <c r="B7" t="s">
        <v>17</v>
      </c>
      <c r="C7" t="s">
        <v>18</v>
      </c>
      <c r="D7">
        <v>10</v>
      </c>
      <c r="E7">
        <v>500</v>
      </c>
      <c r="F7">
        <v>800</v>
      </c>
      <c r="G7">
        <v>8000</v>
      </c>
      <c r="H7">
        <v>3000</v>
      </c>
    </row>
    <row r="8" spans="1:8" x14ac:dyDescent="0.3">
      <c r="A8" s="1">
        <v>46269</v>
      </c>
      <c r="B8" t="s">
        <v>8</v>
      </c>
      <c r="C8" t="s">
        <v>9</v>
      </c>
      <c r="D8">
        <v>25</v>
      </c>
      <c r="E8">
        <v>150</v>
      </c>
      <c r="F8">
        <v>250</v>
      </c>
      <c r="G8">
        <v>6250</v>
      </c>
      <c r="H8">
        <v>2500</v>
      </c>
    </row>
    <row r="9" spans="1:8" x14ac:dyDescent="0.3">
      <c r="A9" s="1">
        <v>46269</v>
      </c>
      <c r="B9" t="s">
        <v>10</v>
      </c>
      <c r="C9" t="s">
        <v>11</v>
      </c>
      <c r="D9">
        <v>7</v>
      </c>
      <c r="E9">
        <v>800</v>
      </c>
      <c r="F9">
        <v>1200</v>
      </c>
      <c r="G9">
        <v>8400</v>
      </c>
      <c r="H9">
        <v>2800</v>
      </c>
    </row>
    <row r="10" spans="1:8" x14ac:dyDescent="0.3">
      <c r="A10" s="1">
        <v>46270</v>
      </c>
      <c r="B10" t="s">
        <v>12</v>
      </c>
      <c r="C10" t="s">
        <v>13</v>
      </c>
      <c r="D10">
        <v>20</v>
      </c>
      <c r="E10">
        <v>300</v>
      </c>
      <c r="F10">
        <v>500</v>
      </c>
      <c r="G10">
        <v>10000</v>
      </c>
      <c r="H10">
        <v>4000</v>
      </c>
    </row>
    <row r="11" spans="1:8" x14ac:dyDescent="0.3">
      <c r="A11" s="1">
        <v>46270</v>
      </c>
      <c r="B11" t="s">
        <v>14</v>
      </c>
      <c r="C11" t="s">
        <v>15</v>
      </c>
      <c r="D11">
        <v>18</v>
      </c>
      <c r="E11">
        <v>200</v>
      </c>
      <c r="F11">
        <v>350</v>
      </c>
      <c r="G11">
        <v>6300</v>
      </c>
      <c r="H11">
        <v>2700</v>
      </c>
    </row>
    <row r="12" spans="1:8" x14ac:dyDescent="0.3">
      <c r="A12" s="1">
        <v>46271</v>
      </c>
      <c r="B12" t="s">
        <v>16</v>
      </c>
      <c r="C12" t="s">
        <v>9</v>
      </c>
      <c r="D12">
        <v>12</v>
      </c>
      <c r="E12">
        <v>400</v>
      </c>
      <c r="F12">
        <v>650</v>
      </c>
      <c r="G12">
        <v>7800</v>
      </c>
      <c r="H12">
        <v>3000</v>
      </c>
    </row>
    <row r="13" spans="1:8" x14ac:dyDescent="0.3">
      <c r="A13" s="1">
        <v>46271</v>
      </c>
      <c r="B13" t="s">
        <v>17</v>
      </c>
      <c r="C13" t="s">
        <v>18</v>
      </c>
      <c r="D13">
        <v>14</v>
      </c>
      <c r="E13">
        <v>500</v>
      </c>
      <c r="F13">
        <v>800</v>
      </c>
      <c r="G13">
        <v>11200</v>
      </c>
      <c r="H13">
        <v>4200</v>
      </c>
    </row>
    <row r="14" spans="1:8" x14ac:dyDescent="0.3">
      <c r="A14" s="1">
        <v>46272</v>
      </c>
      <c r="B14" t="s">
        <v>8</v>
      </c>
      <c r="C14" t="s">
        <v>9</v>
      </c>
      <c r="D14">
        <v>30</v>
      </c>
      <c r="E14">
        <v>150</v>
      </c>
      <c r="F14">
        <v>250</v>
      </c>
      <c r="G14">
        <v>7500</v>
      </c>
      <c r="H14">
        <v>3000</v>
      </c>
    </row>
    <row r="15" spans="1:8" x14ac:dyDescent="0.3">
      <c r="A15" s="1">
        <v>46272</v>
      </c>
      <c r="B15" t="s">
        <v>10</v>
      </c>
      <c r="C15" t="s">
        <v>11</v>
      </c>
      <c r="D15">
        <v>9</v>
      </c>
      <c r="E15">
        <v>800</v>
      </c>
      <c r="F15">
        <v>1200</v>
      </c>
      <c r="G15">
        <v>10800</v>
      </c>
      <c r="H15">
        <v>3600</v>
      </c>
    </row>
    <row r="16" spans="1:8" x14ac:dyDescent="0.3">
      <c r="A16" s="1">
        <v>46273</v>
      </c>
      <c r="B16" t="s">
        <v>12</v>
      </c>
      <c r="C16" t="s">
        <v>13</v>
      </c>
      <c r="D16">
        <v>18</v>
      </c>
      <c r="E16">
        <v>300</v>
      </c>
      <c r="F16">
        <v>500</v>
      </c>
      <c r="G16">
        <v>9000</v>
      </c>
      <c r="H16">
        <v>3600</v>
      </c>
    </row>
    <row r="17" spans="1:8" x14ac:dyDescent="0.3">
      <c r="A17" s="1">
        <v>46273</v>
      </c>
      <c r="B17" t="s">
        <v>14</v>
      </c>
      <c r="C17" t="s">
        <v>15</v>
      </c>
      <c r="D17">
        <v>15</v>
      </c>
      <c r="E17">
        <v>200</v>
      </c>
      <c r="F17">
        <v>350</v>
      </c>
      <c r="G17">
        <v>5250</v>
      </c>
      <c r="H17">
        <v>2250</v>
      </c>
    </row>
    <row r="18" spans="1:8" x14ac:dyDescent="0.3">
      <c r="A18" s="1">
        <v>46274</v>
      </c>
      <c r="B18" t="s">
        <v>16</v>
      </c>
      <c r="C18" t="s">
        <v>9</v>
      </c>
      <c r="D18">
        <v>10</v>
      </c>
      <c r="E18">
        <v>400</v>
      </c>
      <c r="F18">
        <v>650</v>
      </c>
      <c r="G18">
        <v>6500</v>
      </c>
      <c r="H18">
        <v>2500</v>
      </c>
    </row>
    <row r="19" spans="1:8" x14ac:dyDescent="0.3">
      <c r="A19" s="1">
        <v>46274</v>
      </c>
      <c r="B19" t="s">
        <v>17</v>
      </c>
      <c r="C19" t="s">
        <v>18</v>
      </c>
      <c r="D19">
        <v>11</v>
      </c>
      <c r="E19">
        <v>500</v>
      </c>
      <c r="F19">
        <v>800</v>
      </c>
      <c r="G19">
        <v>8800</v>
      </c>
      <c r="H19">
        <v>3300</v>
      </c>
    </row>
    <row r="20" spans="1:8" x14ac:dyDescent="0.3">
      <c r="A20" s="1">
        <v>46275</v>
      </c>
      <c r="B20" t="s">
        <v>8</v>
      </c>
      <c r="C20" t="s">
        <v>9</v>
      </c>
      <c r="D20">
        <v>22</v>
      </c>
      <c r="E20">
        <v>150</v>
      </c>
      <c r="F20">
        <v>250</v>
      </c>
      <c r="G20">
        <v>5500</v>
      </c>
      <c r="H20">
        <v>2200</v>
      </c>
    </row>
    <row r="21" spans="1:8" x14ac:dyDescent="0.3">
      <c r="A21" s="1">
        <v>46275</v>
      </c>
      <c r="B21" t="s">
        <v>10</v>
      </c>
      <c r="C21" t="s">
        <v>11</v>
      </c>
      <c r="D21">
        <v>8</v>
      </c>
      <c r="E21">
        <v>800</v>
      </c>
      <c r="F21">
        <v>1200</v>
      </c>
      <c r="G21">
        <v>9600</v>
      </c>
      <c r="H21">
        <v>3200</v>
      </c>
    </row>
    <row r="22" spans="1:8" x14ac:dyDescent="0.3">
      <c r="G22">
        <v>154800</v>
      </c>
      <c r="H22">
        <v>58650</v>
      </c>
    </row>
    <row r="35" spans="1:10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J35" t="s">
        <v>7</v>
      </c>
    </row>
    <row r="36" spans="1:10" x14ac:dyDescent="0.3">
      <c r="A36" s="1">
        <v>46266</v>
      </c>
      <c r="B36" t="s">
        <v>8</v>
      </c>
      <c r="C36" t="s">
        <v>9</v>
      </c>
      <c r="D36">
        <v>20</v>
      </c>
      <c r="E36">
        <v>150</v>
      </c>
      <c r="F36">
        <v>250</v>
      </c>
      <c r="G36">
        <v>5000</v>
      </c>
      <c r="H36">
        <v>2000</v>
      </c>
      <c r="J36">
        <v>2000</v>
      </c>
    </row>
    <row r="37" spans="1:10" x14ac:dyDescent="0.3">
      <c r="A37" s="1">
        <v>46266</v>
      </c>
      <c r="B37" t="s">
        <v>10</v>
      </c>
      <c r="C37" t="s">
        <v>11</v>
      </c>
      <c r="D37">
        <v>10</v>
      </c>
      <c r="E37">
        <v>800</v>
      </c>
      <c r="F37">
        <v>1200</v>
      </c>
      <c r="G37">
        <v>12000</v>
      </c>
      <c r="H37">
        <v>4000</v>
      </c>
      <c r="J37">
        <v>4000</v>
      </c>
    </row>
    <row r="38" spans="1:10" x14ac:dyDescent="0.3">
      <c r="A38" s="1">
        <v>46267</v>
      </c>
      <c r="B38" t="s">
        <v>12</v>
      </c>
      <c r="C38" t="s">
        <v>13</v>
      </c>
      <c r="D38">
        <v>15</v>
      </c>
      <c r="E38">
        <v>300</v>
      </c>
      <c r="F38">
        <v>500</v>
      </c>
      <c r="G38">
        <v>7500</v>
      </c>
      <c r="H38">
        <v>3000</v>
      </c>
      <c r="J38">
        <v>3000</v>
      </c>
    </row>
    <row r="39" spans="1:10" x14ac:dyDescent="0.3">
      <c r="A39" s="1">
        <v>46267</v>
      </c>
      <c r="B39" t="s">
        <v>14</v>
      </c>
      <c r="C39" t="s">
        <v>15</v>
      </c>
      <c r="D39">
        <v>12</v>
      </c>
      <c r="E39">
        <v>200</v>
      </c>
      <c r="F39">
        <v>350</v>
      </c>
      <c r="G39">
        <v>4200</v>
      </c>
      <c r="H39">
        <v>1800</v>
      </c>
      <c r="J39">
        <v>1800</v>
      </c>
    </row>
    <row r="40" spans="1:10" x14ac:dyDescent="0.3">
      <c r="A40" s="1">
        <v>46268</v>
      </c>
      <c r="B40" t="s">
        <v>16</v>
      </c>
      <c r="C40" t="s">
        <v>9</v>
      </c>
      <c r="D40">
        <v>8</v>
      </c>
      <c r="E40">
        <v>400</v>
      </c>
      <c r="F40">
        <v>650</v>
      </c>
      <c r="G40">
        <v>5200</v>
      </c>
      <c r="H40">
        <v>2000</v>
      </c>
      <c r="J40">
        <v>2000</v>
      </c>
    </row>
    <row r="41" spans="1:10" x14ac:dyDescent="0.3">
      <c r="A41" s="1">
        <v>46268</v>
      </c>
      <c r="B41" t="s">
        <v>17</v>
      </c>
      <c r="C41" t="s">
        <v>18</v>
      </c>
      <c r="D41">
        <v>10</v>
      </c>
      <c r="E41">
        <v>500</v>
      </c>
      <c r="F41">
        <v>800</v>
      </c>
      <c r="G41">
        <v>8000</v>
      </c>
      <c r="H41">
        <v>3000</v>
      </c>
      <c r="J41">
        <v>3000</v>
      </c>
    </row>
    <row r="42" spans="1:10" x14ac:dyDescent="0.3">
      <c r="A42" s="1">
        <v>46269</v>
      </c>
      <c r="B42" t="s">
        <v>8</v>
      </c>
      <c r="C42" t="s">
        <v>9</v>
      </c>
      <c r="D42">
        <v>25</v>
      </c>
      <c r="E42">
        <v>150</v>
      </c>
      <c r="F42">
        <v>250</v>
      </c>
      <c r="G42">
        <v>6250</v>
      </c>
      <c r="H42">
        <v>2500</v>
      </c>
      <c r="J42">
        <v>2500</v>
      </c>
    </row>
    <row r="43" spans="1:10" x14ac:dyDescent="0.3">
      <c r="A43" s="1">
        <v>46269</v>
      </c>
      <c r="B43" t="s">
        <v>10</v>
      </c>
      <c r="C43" t="s">
        <v>11</v>
      </c>
      <c r="D43">
        <v>7</v>
      </c>
      <c r="E43">
        <v>800</v>
      </c>
      <c r="F43">
        <v>1200</v>
      </c>
      <c r="G43">
        <v>8400</v>
      </c>
      <c r="H43">
        <v>2800</v>
      </c>
      <c r="J43">
        <v>2800</v>
      </c>
    </row>
    <row r="44" spans="1:10" x14ac:dyDescent="0.3">
      <c r="A44" s="1">
        <v>46270</v>
      </c>
      <c r="B44" t="s">
        <v>12</v>
      </c>
      <c r="C44" t="s">
        <v>13</v>
      </c>
      <c r="D44">
        <v>20</v>
      </c>
      <c r="E44">
        <v>300</v>
      </c>
      <c r="F44">
        <v>500</v>
      </c>
      <c r="G44">
        <v>10000</v>
      </c>
      <c r="H44">
        <v>4000</v>
      </c>
      <c r="J44">
        <v>4000</v>
      </c>
    </row>
    <row r="45" spans="1:10" x14ac:dyDescent="0.3">
      <c r="A45" s="1">
        <v>46270</v>
      </c>
      <c r="B45" t="s">
        <v>14</v>
      </c>
      <c r="C45" t="s">
        <v>15</v>
      </c>
      <c r="D45">
        <v>18</v>
      </c>
      <c r="E45">
        <v>200</v>
      </c>
      <c r="F45">
        <v>350</v>
      </c>
      <c r="G45">
        <v>6300</v>
      </c>
      <c r="H45">
        <v>2700</v>
      </c>
      <c r="J45">
        <v>2700</v>
      </c>
    </row>
    <row r="46" spans="1:10" x14ac:dyDescent="0.3">
      <c r="A46" s="1">
        <v>46271</v>
      </c>
      <c r="B46" t="s">
        <v>16</v>
      </c>
      <c r="C46" t="s">
        <v>9</v>
      </c>
      <c r="D46">
        <v>12</v>
      </c>
      <c r="E46">
        <v>400</v>
      </c>
      <c r="F46">
        <v>650</v>
      </c>
      <c r="G46">
        <v>7800</v>
      </c>
      <c r="H46">
        <v>3000</v>
      </c>
      <c r="J46">
        <v>3000</v>
      </c>
    </row>
    <row r="47" spans="1:10" x14ac:dyDescent="0.3">
      <c r="A47" s="1">
        <v>46271</v>
      </c>
      <c r="B47" t="s">
        <v>17</v>
      </c>
      <c r="C47" t="s">
        <v>18</v>
      </c>
      <c r="D47">
        <v>14</v>
      </c>
      <c r="E47">
        <v>500</v>
      </c>
      <c r="F47">
        <v>800</v>
      </c>
      <c r="G47">
        <v>11200</v>
      </c>
      <c r="H47">
        <v>4200</v>
      </c>
      <c r="J47">
        <v>4200</v>
      </c>
    </row>
    <row r="48" spans="1:10" x14ac:dyDescent="0.3">
      <c r="A48" s="1">
        <v>46272</v>
      </c>
      <c r="B48" t="s">
        <v>8</v>
      </c>
      <c r="C48" t="s">
        <v>9</v>
      </c>
      <c r="D48">
        <v>30</v>
      </c>
      <c r="E48">
        <v>150</v>
      </c>
      <c r="F48">
        <v>250</v>
      </c>
      <c r="G48">
        <v>7500</v>
      </c>
      <c r="H48">
        <v>3000</v>
      </c>
      <c r="J48">
        <v>3000</v>
      </c>
    </row>
    <row r="49" spans="1:10" x14ac:dyDescent="0.3">
      <c r="A49" s="1">
        <v>46272</v>
      </c>
      <c r="B49" t="s">
        <v>10</v>
      </c>
      <c r="C49" t="s">
        <v>11</v>
      </c>
      <c r="D49">
        <v>9</v>
      </c>
      <c r="E49">
        <v>800</v>
      </c>
      <c r="F49">
        <v>1200</v>
      </c>
      <c r="G49">
        <v>10800</v>
      </c>
      <c r="H49">
        <v>3600</v>
      </c>
      <c r="J49">
        <v>3600</v>
      </c>
    </row>
    <row r="50" spans="1:10" x14ac:dyDescent="0.3">
      <c r="A50" s="1">
        <v>46273</v>
      </c>
      <c r="B50" t="s">
        <v>12</v>
      </c>
      <c r="C50" t="s">
        <v>13</v>
      </c>
      <c r="D50">
        <v>18</v>
      </c>
      <c r="E50">
        <v>300</v>
      </c>
      <c r="F50">
        <v>500</v>
      </c>
      <c r="G50">
        <v>9000</v>
      </c>
      <c r="H50">
        <v>3600</v>
      </c>
      <c r="J50">
        <v>3600</v>
      </c>
    </row>
    <row r="51" spans="1:10" x14ac:dyDescent="0.3">
      <c r="A51" s="1">
        <v>46273</v>
      </c>
      <c r="B51" t="s">
        <v>14</v>
      </c>
      <c r="C51" t="s">
        <v>15</v>
      </c>
      <c r="D51">
        <v>15</v>
      </c>
      <c r="E51">
        <v>200</v>
      </c>
      <c r="F51">
        <v>350</v>
      </c>
      <c r="G51">
        <v>5250</v>
      </c>
      <c r="H51">
        <v>2250</v>
      </c>
      <c r="J51">
        <v>2250</v>
      </c>
    </row>
    <row r="52" spans="1:10" x14ac:dyDescent="0.3">
      <c r="A52" s="1">
        <v>46274</v>
      </c>
      <c r="B52" t="s">
        <v>16</v>
      </c>
      <c r="C52" t="s">
        <v>9</v>
      </c>
      <c r="D52">
        <v>10</v>
      </c>
      <c r="E52">
        <v>400</v>
      </c>
      <c r="F52">
        <v>650</v>
      </c>
      <c r="G52">
        <v>6500</v>
      </c>
      <c r="H52">
        <v>2500</v>
      </c>
      <c r="J52">
        <v>2500</v>
      </c>
    </row>
    <row r="53" spans="1:10" x14ac:dyDescent="0.3">
      <c r="A53" s="1">
        <v>46274</v>
      </c>
      <c r="B53" t="s">
        <v>17</v>
      </c>
      <c r="C53" t="s">
        <v>18</v>
      </c>
      <c r="D53">
        <v>11</v>
      </c>
      <c r="E53">
        <v>500</v>
      </c>
      <c r="F53">
        <v>800</v>
      </c>
      <c r="G53">
        <v>8800</v>
      </c>
      <c r="H53">
        <v>3300</v>
      </c>
      <c r="J53">
        <v>3300</v>
      </c>
    </row>
    <row r="54" spans="1:10" x14ac:dyDescent="0.3">
      <c r="A54" s="1">
        <v>46275</v>
      </c>
      <c r="B54" t="s">
        <v>8</v>
      </c>
      <c r="C54" t="s">
        <v>9</v>
      </c>
      <c r="D54">
        <v>22</v>
      </c>
      <c r="E54">
        <v>150</v>
      </c>
      <c r="F54">
        <v>250</v>
      </c>
      <c r="G54">
        <v>5500</v>
      </c>
      <c r="H54">
        <v>2200</v>
      </c>
      <c r="J54">
        <v>2200</v>
      </c>
    </row>
    <row r="55" spans="1:10" x14ac:dyDescent="0.3">
      <c r="A55" s="1">
        <v>46275</v>
      </c>
      <c r="B55" t="s">
        <v>10</v>
      </c>
      <c r="C55" t="s">
        <v>11</v>
      </c>
      <c r="D55">
        <v>8</v>
      </c>
      <c r="E55">
        <v>800</v>
      </c>
      <c r="F55">
        <v>1200</v>
      </c>
      <c r="G55">
        <v>9600</v>
      </c>
      <c r="H55">
        <v>3200</v>
      </c>
      <c r="J55">
        <v>3200</v>
      </c>
    </row>
    <row r="56" spans="1:10" x14ac:dyDescent="0.3">
      <c r="G56">
        <v>58650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pharmacy-sales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2026-09-27T16:14:29Z</dcterms:created>
  <dcterms:modified xsi:type="dcterms:W3CDTF">2026-09-27T17:13:16Z</dcterms:modified>
</cp:coreProperties>
</file>